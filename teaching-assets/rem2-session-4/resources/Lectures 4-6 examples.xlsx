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bao/Dropbox (Personal)/Teaching/Mst/2025/REM2/Lecture notes/"/>
    </mc:Choice>
  </mc:AlternateContent>
  <xr:revisionPtr revIDLastSave="0" documentId="13_ncr:1_{0F421312-64F9-9946-B698-72F043309BAF}" xr6:coauthVersionLast="47" xr6:coauthVersionMax="47" xr10:uidLastSave="{00000000-0000-0000-0000-000000000000}"/>
  <bookViews>
    <workbookView xWindow="2380" yWindow="880" windowWidth="27640" windowHeight="15520" xr2:uid="{C3BB5C7C-3453-F348-A258-00407B24B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B26" i="1"/>
  <c r="B27" i="1" s="1"/>
  <c r="C26" i="1"/>
  <c r="C32" i="1" s="1"/>
  <c r="A27" i="1"/>
  <c r="C27" i="1"/>
  <c r="A28" i="1"/>
  <c r="C28" i="1"/>
  <c r="C34" i="1" s="1"/>
  <c r="A29" i="1"/>
  <c r="B29" i="1"/>
  <c r="C29" i="1"/>
  <c r="C35" i="1" s="1"/>
  <c r="B32" i="1"/>
  <c r="B33" i="1"/>
  <c r="B34" i="1"/>
  <c r="B35" i="1"/>
  <c r="B38" i="1"/>
  <c r="B39" i="1" s="1"/>
  <c r="B28" i="1" l="1"/>
  <c r="B42" i="1"/>
  <c r="B41" i="1"/>
  <c r="C33" i="1"/>
  <c r="B40" i="1"/>
</calcChain>
</file>

<file path=xl/sharedStrings.xml><?xml version="1.0" encoding="utf-8"?>
<sst xmlns="http://schemas.openxmlformats.org/spreadsheetml/2006/main" count="49" uniqueCount="41">
  <si>
    <t>Rental Model</t>
  </si>
  <si>
    <t xml:space="preserve">Sales </t>
  </si>
  <si>
    <t>Model</t>
  </si>
  <si>
    <t>Floor area</t>
  </si>
  <si>
    <r>
      <t>8.20</t>
    </r>
    <r>
      <rPr>
        <vertAlign val="superscript"/>
        <sz val="12"/>
        <color theme="1"/>
        <rFont val="Times New Roman"/>
        <family val="1"/>
      </rPr>
      <t>***</t>
    </r>
  </si>
  <si>
    <r>
      <t>203.06</t>
    </r>
    <r>
      <rPr>
        <vertAlign val="superscript"/>
        <sz val="12"/>
        <color theme="1"/>
        <rFont val="Times New Roman"/>
        <family val="1"/>
      </rPr>
      <t>***</t>
    </r>
  </si>
  <si>
    <t>Property type</t>
  </si>
  <si>
    <t>Bungalow</t>
  </si>
  <si>
    <t>(-0.54)</t>
  </si>
  <si>
    <r>
      <t>163145.92</t>
    </r>
    <r>
      <rPr>
        <vertAlign val="superscript"/>
        <sz val="12"/>
        <color theme="1"/>
        <rFont val="Times New Roman"/>
        <family val="1"/>
      </rPr>
      <t>***</t>
    </r>
  </si>
  <si>
    <r>
      <t>329.55</t>
    </r>
    <r>
      <rPr>
        <vertAlign val="superscript"/>
        <sz val="12"/>
        <color theme="1"/>
        <rFont val="Times New Roman"/>
        <family val="1"/>
      </rPr>
      <t>***</t>
    </r>
  </si>
  <si>
    <r>
      <t>512045.11</t>
    </r>
    <r>
      <rPr>
        <vertAlign val="superscript"/>
        <sz val="12"/>
        <color theme="1"/>
        <rFont val="Times New Roman"/>
        <family val="1"/>
      </rPr>
      <t>***</t>
    </r>
  </si>
  <si>
    <r>
      <t>159.51</t>
    </r>
    <r>
      <rPr>
        <vertAlign val="superscript"/>
        <sz val="12"/>
        <color theme="1"/>
        <rFont val="Times New Roman"/>
        <family val="1"/>
      </rPr>
      <t>***</t>
    </r>
  </si>
  <si>
    <r>
      <t>205006.71</t>
    </r>
    <r>
      <rPr>
        <vertAlign val="superscript"/>
        <sz val="12"/>
        <color theme="1"/>
        <rFont val="Times New Roman"/>
        <family val="1"/>
      </rPr>
      <t>***</t>
    </r>
  </si>
  <si>
    <r>
      <t>120.08</t>
    </r>
    <r>
      <rPr>
        <vertAlign val="superscript"/>
        <sz val="12"/>
        <color theme="1"/>
        <rFont val="Times New Roman"/>
        <family val="1"/>
      </rPr>
      <t>***</t>
    </r>
  </si>
  <si>
    <r>
      <t>152571.04</t>
    </r>
    <r>
      <rPr>
        <vertAlign val="superscript"/>
        <sz val="12"/>
        <color theme="1"/>
        <rFont val="Times New Roman"/>
        <family val="1"/>
      </rPr>
      <t>***</t>
    </r>
  </si>
  <si>
    <t>Constant</t>
  </si>
  <si>
    <r>
      <t>670.99</t>
    </r>
    <r>
      <rPr>
        <vertAlign val="superscript"/>
        <sz val="12"/>
        <color theme="1"/>
        <rFont val="Times New Roman"/>
        <family val="1"/>
      </rPr>
      <t>***</t>
    </r>
  </si>
  <si>
    <r>
      <t>282479.24</t>
    </r>
    <r>
      <rPr>
        <vertAlign val="superscript"/>
        <sz val="12"/>
        <color theme="1"/>
        <rFont val="Times New Roman"/>
        <family val="1"/>
      </rPr>
      <t>***</t>
    </r>
  </si>
  <si>
    <t>N</t>
  </si>
  <si>
    <r>
      <t>R</t>
    </r>
    <r>
      <rPr>
        <vertAlign val="superscript"/>
        <sz val="12"/>
        <color theme="1"/>
        <rFont val="Times New Roman"/>
        <family val="1"/>
      </rPr>
      <t>2</t>
    </r>
  </si>
  <si>
    <t>F</t>
  </si>
  <si>
    <t>p-value of F test</t>
  </si>
  <si>
    <t>Dummy variables</t>
  </si>
  <si>
    <t>Difference between</t>
  </si>
  <si>
    <r>
      <t>8.32</t>
    </r>
    <r>
      <rPr>
        <vertAlign val="superscript"/>
        <sz val="12"/>
        <color theme="1"/>
        <rFont val="Times New Roman"/>
        <family val="1"/>
      </rPr>
      <t>***</t>
    </r>
  </si>
  <si>
    <r>
      <t>208.98</t>
    </r>
    <r>
      <rPr>
        <vertAlign val="superscript"/>
        <sz val="12"/>
        <color theme="1"/>
        <rFont val="Times New Roman"/>
        <family val="1"/>
      </rPr>
      <t>***</t>
    </r>
  </si>
  <si>
    <r>
      <t>73.66</t>
    </r>
    <r>
      <rPr>
        <vertAlign val="superscript"/>
        <sz val="12"/>
        <color theme="1"/>
        <rFont val="Times New Roman"/>
        <family val="1"/>
      </rPr>
      <t>***</t>
    </r>
  </si>
  <si>
    <r>
      <t>115670.56</t>
    </r>
    <r>
      <rPr>
        <vertAlign val="superscript"/>
        <sz val="12"/>
        <color theme="1"/>
        <rFont val="Times New Roman"/>
        <family val="1"/>
      </rPr>
      <t>***</t>
    </r>
  </si>
  <si>
    <t>Terraced House</t>
  </si>
  <si>
    <t>Semi-Detached House</t>
  </si>
  <si>
    <t>Detached House</t>
  </si>
  <si>
    <r>
      <t>601.96</t>
    </r>
    <r>
      <rPr>
        <vertAlign val="superscript"/>
        <sz val="12"/>
        <color theme="1"/>
        <rFont val="Times New Roman"/>
        <family val="1"/>
      </rPr>
      <t>***</t>
    </r>
  </si>
  <si>
    <r>
      <t>171538.45</t>
    </r>
    <r>
      <rPr>
        <vertAlign val="superscript"/>
        <sz val="12"/>
        <color theme="1"/>
        <rFont val="Times New Roman"/>
        <family val="1"/>
      </rPr>
      <t>***</t>
    </r>
  </si>
  <si>
    <t>Price difference vs Flat</t>
  </si>
  <si>
    <t>Terraced House &amp; Semi-Detached House</t>
  </si>
  <si>
    <t>Semi-Detached House &amp; Bungalow</t>
  </si>
  <si>
    <t>Bungalow &amp; Detached House</t>
  </si>
  <si>
    <t>Flat &amp; Terraced House</t>
  </si>
  <si>
    <t>Flat</t>
  </si>
  <si>
    <t>Intercept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</si>
</sst>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2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5092-9C45-4D43-B397-AF96F3BBA970}">
  <dimension ref="A1:E42"/>
  <sheetViews>
    <sheetView tabSelected="1" topLeftCell="A18" workbookViewId="0">
      <selection activeCell="F33" sqref="F33"/>
    </sheetView>
  </sheetViews>
  <sheetFormatPr baseColWidth="10" defaultColWidth="22.33203125" defaultRowHeight="16" x14ac:dyDescent="0.2"/>
  <cols>
    <col min="1" max="1" width="20.1640625" bestFit="1" customWidth="1"/>
    <col min="2" max="2" width="11.83203125" bestFit="1" customWidth="1"/>
    <col min="3" max="3" width="11.6640625" bestFit="1" customWidth="1"/>
    <col min="4" max="4" width="11.83203125" bestFit="1" customWidth="1"/>
    <col min="5" max="5" width="11.6640625" bestFit="1" customWidth="1"/>
  </cols>
  <sheetData>
    <row r="1" spans="1:5" x14ac:dyDescent="0.2">
      <c r="A1" s="1"/>
      <c r="B1" s="2">
        <v>-1</v>
      </c>
      <c r="C1" s="2">
        <v>-2</v>
      </c>
      <c r="D1" s="2">
        <v>-3</v>
      </c>
      <c r="E1" s="2">
        <v>-4</v>
      </c>
    </row>
    <row r="2" spans="1:5" ht="17" x14ac:dyDescent="0.2">
      <c r="A2" s="8"/>
      <c r="B2" s="10" t="s">
        <v>0</v>
      </c>
      <c r="C2" s="4" t="s">
        <v>1</v>
      </c>
      <c r="D2" s="10" t="s">
        <v>0</v>
      </c>
      <c r="E2" s="4" t="s">
        <v>1</v>
      </c>
    </row>
    <row r="3" spans="1:5" ht="18" thickBot="1" x14ac:dyDescent="0.25">
      <c r="A3" s="9"/>
      <c r="B3" s="11"/>
      <c r="C3" s="4" t="s">
        <v>2</v>
      </c>
      <c r="D3" s="11"/>
      <c r="E3" s="4" t="s">
        <v>2</v>
      </c>
    </row>
    <row r="4" spans="1:5" ht="19" x14ac:dyDescent="0.2">
      <c r="A4" s="12" t="s">
        <v>3</v>
      </c>
      <c r="B4" s="2" t="s">
        <v>25</v>
      </c>
      <c r="C4" s="2" t="s">
        <v>26</v>
      </c>
      <c r="D4" s="2" t="s">
        <v>4</v>
      </c>
      <c r="E4" s="2" t="s">
        <v>5</v>
      </c>
    </row>
    <row r="5" spans="1:5" x14ac:dyDescent="0.2">
      <c r="A5" s="8"/>
      <c r="B5" s="4">
        <v>-49.69</v>
      </c>
      <c r="C5" s="4">
        <v>-13.14</v>
      </c>
      <c r="D5" s="4">
        <v>-48.5</v>
      </c>
      <c r="E5" s="4">
        <v>-12.92</v>
      </c>
    </row>
    <row r="6" spans="1:5" ht="19" x14ac:dyDescent="0.2">
      <c r="A6" s="8" t="s">
        <v>6</v>
      </c>
      <c r="B6" s="4" t="s">
        <v>27</v>
      </c>
      <c r="C6" s="4" t="s">
        <v>28</v>
      </c>
      <c r="D6" s="13"/>
      <c r="E6" s="13"/>
    </row>
    <row r="7" spans="1:5" x14ac:dyDescent="0.2">
      <c r="A7" s="8"/>
      <c r="B7" s="4">
        <v>-9.5500000000000007</v>
      </c>
      <c r="C7" s="4">
        <v>-43.19</v>
      </c>
      <c r="D7" s="13"/>
      <c r="E7" s="13"/>
    </row>
    <row r="8" spans="1:5" ht="19" x14ac:dyDescent="0.2">
      <c r="A8" s="8" t="s">
        <v>29</v>
      </c>
      <c r="B8" s="13"/>
      <c r="C8" s="13"/>
      <c r="D8" s="4" t="s">
        <v>14</v>
      </c>
      <c r="E8" s="4" t="s">
        <v>15</v>
      </c>
    </row>
    <row r="9" spans="1:5" x14ac:dyDescent="0.2">
      <c r="A9" s="8"/>
      <c r="B9" s="13"/>
      <c r="C9" s="13"/>
      <c r="D9" s="4">
        <v>-5.82</v>
      </c>
      <c r="E9" s="4">
        <v>-15.8</v>
      </c>
    </row>
    <row r="10" spans="1:5" ht="19" x14ac:dyDescent="0.2">
      <c r="A10" s="8" t="s">
        <v>30</v>
      </c>
      <c r="B10" s="13"/>
      <c r="C10" s="13"/>
      <c r="D10" s="4" t="s">
        <v>12</v>
      </c>
      <c r="E10" s="4" t="s">
        <v>13</v>
      </c>
    </row>
    <row r="11" spans="1:5" x14ac:dyDescent="0.2">
      <c r="A11" s="8"/>
      <c r="B11" s="13"/>
      <c r="C11" s="13"/>
      <c r="D11" s="4">
        <v>-6.81</v>
      </c>
      <c r="E11" s="4">
        <v>-21.16</v>
      </c>
    </row>
    <row r="12" spans="1:5" ht="19" x14ac:dyDescent="0.2">
      <c r="A12" s="8" t="s">
        <v>7</v>
      </c>
      <c r="B12" s="13"/>
      <c r="C12" s="13"/>
      <c r="D12" s="4">
        <v>-39</v>
      </c>
      <c r="E12" s="4" t="s">
        <v>9</v>
      </c>
    </row>
    <row r="13" spans="1:5" ht="17" x14ac:dyDescent="0.2">
      <c r="A13" s="8"/>
      <c r="B13" s="13"/>
      <c r="C13" s="13"/>
      <c r="D13" s="4" t="s">
        <v>8</v>
      </c>
      <c r="E13" s="4">
        <v>-8.01</v>
      </c>
    </row>
    <row r="14" spans="1:5" ht="19" x14ac:dyDescent="0.2">
      <c r="A14" s="8" t="s">
        <v>31</v>
      </c>
      <c r="B14" s="13"/>
      <c r="C14" s="13"/>
      <c r="D14" s="4" t="s">
        <v>10</v>
      </c>
      <c r="E14" s="4" t="s">
        <v>11</v>
      </c>
    </row>
    <row r="15" spans="1:5" x14ac:dyDescent="0.2">
      <c r="A15" s="8"/>
      <c r="B15" s="13"/>
      <c r="C15" s="13"/>
      <c r="D15" s="4">
        <v>-9.66</v>
      </c>
      <c r="E15" s="4">
        <v>-44.77</v>
      </c>
    </row>
    <row r="16" spans="1:5" ht="19" x14ac:dyDescent="0.2">
      <c r="A16" s="8" t="s">
        <v>16</v>
      </c>
      <c r="B16" s="4" t="s">
        <v>32</v>
      </c>
      <c r="C16" s="4" t="s">
        <v>33</v>
      </c>
      <c r="D16" s="4" t="s">
        <v>17</v>
      </c>
      <c r="E16" s="4" t="s">
        <v>18</v>
      </c>
    </row>
    <row r="17" spans="1:5" ht="17" thickBot="1" x14ac:dyDescent="0.25">
      <c r="A17" s="9"/>
      <c r="B17" s="5">
        <v>-33.04</v>
      </c>
      <c r="C17" s="5">
        <v>-21.96</v>
      </c>
      <c r="D17" s="5">
        <v>-39.58</v>
      </c>
      <c r="E17" s="5">
        <v>-36.9</v>
      </c>
    </row>
    <row r="18" spans="1:5" ht="17" x14ac:dyDescent="0.2">
      <c r="A18" s="3" t="s">
        <v>19</v>
      </c>
      <c r="B18" s="4">
        <v>4262</v>
      </c>
      <c r="C18" s="4">
        <v>6940</v>
      </c>
      <c r="D18" s="4">
        <v>4262</v>
      </c>
      <c r="E18" s="4">
        <v>6940</v>
      </c>
    </row>
    <row r="19" spans="1:5" ht="19" x14ac:dyDescent="0.2">
      <c r="A19" s="3" t="s">
        <v>20</v>
      </c>
      <c r="B19" s="4">
        <v>0.47</v>
      </c>
      <c r="C19" s="4">
        <v>0.05</v>
      </c>
      <c r="D19" s="4">
        <v>0.48</v>
      </c>
      <c r="E19" s="4">
        <v>0.27</v>
      </c>
    </row>
    <row r="20" spans="1:5" ht="17" x14ac:dyDescent="0.2">
      <c r="A20" s="3" t="s">
        <v>21</v>
      </c>
      <c r="B20" s="4">
        <v>1875.73</v>
      </c>
      <c r="C20" s="4">
        <v>168.48</v>
      </c>
      <c r="D20" s="4">
        <v>781.69</v>
      </c>
      <c r="E20" s="4">
        <v>504.83</v>
      </c>
    </row>
    <row r="21" spans="1:5" ht="18" thickBot="1" x14ac:dyDescent="0.25">
      <c r="A21" s="6" t="s">
        <v>22</v>
      </c>
      <c r="B21" s="5">
        <v>0</v>
      </c>
      <c r="C21" s="5">
        <v>0</v>
      </c>
      <c r="D21" s="5">
        <v>0</v>
      </c>
      <c r="E21" s="5">
        <v>0</v>
      </c>
    </row>
    <row r="25" spans="1:5" x14ac:dyDescent="0.2">
      <c r="A25" t="s">
        <v>34</v>
      </c>
      <c r="B25" t="s">
        <v>6</v>
      </c>
      <c r="C25" t="s">
        <v>23</v>
      </c>
    </row>
    <row r="26" spans="1:5" ht="17" x14ac:dyDescent="0.2">
      <c r="A26" s="3" t="str">
        <f>A8</f>
        <v>Terraced House</v>
      </c>
      <c r="B26" s="7">
        <f>VALUE(LEFT(B6,5))</f>
        <v>73.66</v>
      </c>
      <c r="C26" s="7">
        <f>VALUE(LEFT(D8,6))</f>
        <v>120.08</v>
      </c>
    </row>
    <row r="27" spans="1:5" ht="17" x14ac:dyDescent="0.2">
      <c r="A27" s="3" t="str">
        <f>A10</f>
        <v>Semi-Detached House</v>
      </c>
      <c r="B27" s="7">
        <f>B26*2</f>
        <v>147.32</v>
      </c>
      <c r="C27">
        <f>VALUE(LEFT(D10,6))</f>
        <v>159.51</v>
      </c>
    </row>
    <row r="28" spans="1:5" ht="17" x14ac:dyDescent="0.2">
      <c r="A28" s="3" t="str">
        <f>A12</f>
        <v>Bungalow</v>
      </c>
      <c r="B28" s="7">
        <f>B26*3</f>
        <v>220.98</v>
      </c>
      <c r="C28">
        <f>VALUE(LEFT(D12,6))</f>
        <v>-39</v>
      </c>
    </row>
    <row r="29" spans="1:5" ht="17" x14ac:dyDescent="0.2">
      <c r="A29" s="3" t="str">
        <f>A14</f>
        <v>Detached House</v>
      </c>
      <c r="B29" s="7">
        <f>B26*4</f>
        <v>294.64</v>
      </c>
      <c r="C29">
        <f>VALUE(LEFT(D14,6))</f>
        <v>329.55</v>
      </c>
    </row>
    <row r="31" spans="1:5" ht="17" x14ac:dyDescent="0.2">
      <c r="A31" s="3" t="s">
        <v>24</v>
      </c>
    </row>
    <row r="32" spans="1:5" ht="17" x14ac:dyDescent="0.2">
      <c r="A32" s="3" t="s">
        <v>38</v>
      </c>
      <c r="B32" s="7">
        <f>$B$26</f>
        <v>73.66</v>
      </c>
      <c r="C32" s="7">
        <f>C26</f>
        <v>120.08</v>
      </c>
    </row>
    <row r="33" spans="1:3" ht="34" x14ac:dyDescent="0.2">
      <c r="A33" s="3" t="s">
        <v>35</v>
      </c>
      <c r="B33" s="7">
        <f>$B$26</f>
        <v>73.66</v>
      </c>
      <c r="C33" s="7">
        <f>C27-C26</f>
        <v>39.429999999999993</v>
      </c>
    </row>
    <row r="34" spans="1:3" ht="34" x14ac:dyDescent="0.2">
      <c r="A34" s="3" t="s">
        <v>36</v>
      </c>
      <c r="B34" s="7">
        <f t="shared" ref="B34:B35" si="0">$B$26</f>
        <v>73.66</v>
      </c>
      <c r="C34">
        <f>C28-C27</f>
        <v>-198.51</v>
      </c>
    </row>
    <row r="35" spans="1:3" ht="34" x14ac:dyDescent="0.2">
      <c r="A35" s="3" t="s">
        <v>37</v>
      </c>
      <c r="B35" s="7">
        <f t="shared" si="0"/>
        <v>73.66</v>
      </c>
      <c r="C35">
        <f>C29-C28</f>
        <v>368.55</v>
      </c>
    </row>
    <row r="37" spans="1:3" ht="17" x14ac:dyDescent="0.2">
      <c r="A37" s="3" t="s">
        <v>40</v>
      </c>
    </row>
    <row r="38" spans="1:3" ht="17" x14ac:dyDescent="0.2">
      <c r="A38" s="3" t="s">
        <v>39</v>
      </c>
      <c r="B38">
        <f>VALUE(LEFT(D16,6))</f>
        <v>670.99</v>
      </c>
    </row>
    <row r="39" spans="1:3" x14ac:dyDescent="0.2">
      <c r="A39" t="s">
        <v>29</v>
      </c>
      <c r="B39" s="7">
        <f>$B$38+C26</f>
        <v>791.07</v>
      </c>
    </row>
    <row r="40" spans="1:3" x14ac:dyDescent="0.2">
      <c r="A40" t="s">
        <v>30</v>
      </c>
      <c r="B40" s="7">
        <f t="shared" ref="B40:B42" si="1">$B$38+C27</f>
        <v>830.5</v>
      </c>
    </row>
    <row r="41" spans="1:3" x14ac:dyDescent="0.2">
      <c r="A41" t="s">
        <v>7</v>
      </c>
      <c r="B41" s="7">
        <f t="shared" si="1"/>
        <v>631.99</v>
      </c>
    </row>
    <row r="42" spans="1:3" x14ac:dyDescent="0.2">
      <c r="A42" t="s">
        <v>31</v>
      </c>
      <c r="B42" s="7">
        <f t="shared" si="1"/>
        <v>1000.54</v>
      </c>
    </row>
  </sheetData>
  <mergeCells count="20">
    <mergeCell ref="A16:A17"/>
    <mergeCell ref="A10:A11"/>
    <mergeCell ref="B12:B13"/>
    <mergeCell ref="C12:C13"/>
    <mergeCell ref="A8:A9"/>
    <mergeCell ref="B14:B15"/>
    <mergeCell ref="C14:C15"/>
    <mergeCell ref="E6:E7"/>
    <mergeCell ref="A12:A13"/>
    <mergeCell ref="B8:B9"/>
    <mergeCell ref="C8:C9"/>
    <mergeCell ref="A14:A15"/>
    <mergeCell ref="B10:B11"/>
    <mergeCell ref="C10:C11"/>
    <mergeCell ref="A2:A3"/>
    <mergeCell ref="B2:B3"/>
    <mergeCell ref="D2:D3"/>
    <mergeCell ref="A4:A5"/>
    <mergeCell ref="A6:A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Bao</dc:creator>
  <cp:lastModifiedBy>Helen Bao</cp:lastModifiedBy>
  <dcterms:created xsi:type="dcterms:W3CDTF">2024-09-13T19:15:42Z</dcterms:created>
  <dcterms:modified xsi:type="dcterms:W3CDTF">2025-09-26T11:12:33Z</dcterms:modified>
</cp:coreProperties>
</file>